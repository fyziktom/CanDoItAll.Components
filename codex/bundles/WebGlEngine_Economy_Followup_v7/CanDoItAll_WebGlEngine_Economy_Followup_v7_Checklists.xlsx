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331fee008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475e6f3c34456a"/>
    <x:sheet xmlns:r="http://schemas.openxmlformats.org/officeDocument/2006/relationships" name="Findings" sheetId="2" r:id="Rf813b3a049814e60"/>
    <x:sheet xmlns:r="http://schemas.openxmlformats.org/officeDocument/2006/relationships" name="Subbundles" sheetId="3" r:id="R1b31963035414a80"/>
    <x:sheet xmlns:r="http://schemas.openxmlformats.org/officeDocument/2006/relationships" name="Test Matrix" sheetId="4" r:id="Rcd5770d95b5245f4"/>
    <x:sheet xmlns:r="http://schemas.openxmlformats.org/officeDocument/2006/relationships" name="Oracle Matrix" sheetId="5" r:id="R20c6b49bcb874ff4"/>
    <x:sheet xmlns:r="http://schemas.openxmlformats.org/officeDocument/2006/relationships" name="Risk Register" sheetId="6" r:id="R0ac22422e9644bf3"/>
    <x:sheet xmlns:r="http://schemas.openxmlformats.org/officeDocument/2006/relationships" name="Traceability" sheetId="7" r:id="Reb089afd33e743a5"/>
    <x:sheet xmlns:r="http://schemas.openxmlformats.org/officeDocument/2006/relationships" name="QA Gates" sheetId="8" r:id="Raf14b7ebb767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293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CA5A5"/>
        </x:patternFill>
      </x:fill>
    </x:dxf>
    <x:dxf>
      <x:fill>
        <x:patternFill patternType="solid">
          <x:bgColor rgb="FED7AA"/>
        </x:patternFill>
      </x:fill>
    </x:dxf>
    <x:dxf>
      <x:font>
        <x:b/>
      </x:font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086473ca549ee" /><Relationship Type="http://schemas.openxmlformats.org/officeDocument/2006/relationships/theme" Target="/xl/theme/theme1.xml" Id="Ra9506275c31e4713" /><Relationship Type="http://schemas.openxmlformats.org/officeDocument/2006/relationships/sharedStrings" Target="/xl/sharedStrings.xml" Id="R91c5a187d1904837" /><Relationship Type="http://schemas.openxmlformats.org/officeDocument/2006/relationships/worksheet" Target="/xl/worksheets/sheet1.xml" Id="R1d475e6f3c34456a" /><Relationship Type="http://schemas.openxmlformats.org/officeDocument/2006/relationships/worksheet" Target="/xl/worksheets/sheet2.xml" Id="Rf813b3a049814e60" /><Relationship Type="http://schemas.openxmlformats.org/officeDocument/2006/relationships/worksheet" Target="/xl/worksheets/sheet3.xml" Id="R1b31963035414a80" /><Relationship Type="http://schemas.openxmlformats.org/officeDocument/2006/relationships/worksheet" Target="/xl/worksheets/sheet4.xml" Id="Rcd5770d95b5245f4" /><Relationship Type="http://schemas.openxmlformats.org/officeDocument/2006/relationships/worksheet" Target="/xl/worksheets/sheet5.xml" Id="R20c6b49bcb874ff4" /><Relationship Type="http://schemas.openxmlformats.org/officeDocument/2006/relationships/worksheet" Target="/xl/worksheets/sheet6.xml" Id="R0ac22422e9644bf3" /><Relationship Type="http://schemas.openxmlformats.org/officeDocument/2006/relationships/worksheet" Target="/xl/worksheets/sheet7.xml" Id="Reb089afd33e743a5" /><Relationship Type="http://schemas.openxmlformats.org/officeDocument/2006/relationships/worksheet" Target="/xl/worksheets/sheet8.xml" Id="Raf14b7ebb76749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22d4ff5a9a4d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 severity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'Summary'!$D$2:$D$4</c:f>
              <c:strCache>
                <c:ptCount val="0"/>
              </c:strCache>
            </c:strRef>
          </c:cat>
          <c:val>
            <c:numRef>
              <c:f>'Summary'!$E$2:$E$4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22d4ff5a9a4d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1:B7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FindingsTable" displayName="FindingsTable" ref="A1:F13" headerRowCount="1">
  <x:tableColumns count="6">
    <x:tableColumn id="1" name="Id"/>
    <x:tableColumn id="2" name="Finding"/>
    <x:tableColumn id="3" name="Severity"/>
    <x:tableColumn id="4" name="Area"/>
    <x:tableColumn id="5" name="Primary fix"/>
    <x:tableColumn id="6" name="Subbundles"/>
  </x:tableColumns>
  <x:tableStyleInfo name="TableStyleMedium2" showRowStripes="1"/>
</x:table>
</file>

<file path=xl/tables/table3.xml><?xml version="1.0" encoding="utf-8"?>
<x:table xmlns:x="http://schemas.openxmlformats.org/spreadsheetml/2006/main" id="3" name="SubbundlesTable" displayName="SubbundlesTable" ref="A1:F16" headerRowCount="1">
  <x:tableColumns count="6">
    <x:tableColumn id="1" name="Id"/>
    <x:tableColumn id="2" name="Title"/>
    <x:tableColumn id="3" name="Repo"/>
    <x:tableColumn id="4" name="Priority"/>
    <x:tableColumn id="5" name="Gate"/>
    <x:tableColumn id="6" name="Core deliverable"/>
  </x:tableColumns>
  <x:tableStyleInfo name="TableStyleMedium2" showRowStripes="1"/>
</x:table>
</file>

<file path=xl/tables/table4.xml><?xml version="1.0" encoding="utf-8"?>
<x:table xmlns:x="http://schemas.openxmlformats.org/spreadsheetml/2006/main" id="4" name="TestMatrixTable" displayName="TestMatrixTable" ref="A1:E15" headerRowCount="1">
  <x:tableColumns count="5">
    <x:tableColumn id="1" name="Area"/>
    <x:tableColumn id="2" name="Required test/proof"/>
    <x:tableColumn id="3" name="Type"/>
    <x:tableColumn id="4" name="Hard gate?"/>
    <x:tableColumn id="5" name="Subbundle"/>
  </x:tableColumns>
  <x:tableStyleInfo name="TableStyleMedium2" showRowStripes="1"/>
</x:table>
</file>

<file path=xl/tables/table5.xml><?xml version="1.0" encoding="utf-8"?>
<x:table xmlns:x="http://schemas.openxmlformats.org/spreadsheetml/2006/main" id="5" name="OracleMatrixTable" displayName="OracleMatrixTable" ref="A1:E8" headerRowCount="1">
  <x:tableColumns count="5">
    <x:tableColumn id="1" name="Oracle"/>
    <x:tableColumn id="2" name="Purpose"/>
    <x:tableColumn id="3" name="Expected evidence"/>
    <x:tableColumn id="4" name="Why it reduces simulator noise"/>
    <x:tableColumn id="5" name="Subbundle"/>
  </x:tableColumns>
  <x:tableStyleInfo name="TableStyleMedium2" showRowStripes="1"/>
</x:table>
</file>

<file path=xl/tables/table6.xml><?xml version="1.0" encoding="utf-8"?>
<x:table xmlns:x="http://schemas.openxmlformats.org/spreadsheetml/2006/main" id="6" name="RiskRegisterTable" displayName="RiskRegisterTable" ref="A1:E9" headerRowCount="1">
  <x:tableColumns count="5">
    <x:tableColumn id="1" name="Risk"/>
    <x:tableColumn id="2" name="Impact"/>
    <x:tableColumn id="3" name="Likelihood"/>
    <x:tableColumn id="4" name="Mitigation"/>
    <x:tableColumn id="5" name="Owner area"/>
  </x:tableColumns>
  <x:tableStyleInfo name="TableStyleMedium2" showRowStripes="1"/>
</x:table>
</file>

<file path=xl/tables/table7.xml><?xml version="1.0" encoding="utf-8"?>
<x:table xmlns:x="http://schemas.openxmlformats.org/spreadsheetml/2006/main" id="7" name="TraceabilityTable" displayName="TraceabilityTable" ref="A1:D15" headerRowCount="1">
  <x:tableColumns count="4">
    <x:tableColumn id="1" name="Requirement"/>
    <x:tableColumn id="2" name="Finding(s)"/>
    <x:tableColumn id="3" name="Subbundles"/>
    <x:tableColumn id="4" name="Done criteria"/>
  </x:tableColumns>
  <x:tableStyleInfo name="TableStyleMedium2" showRowStripes="1"/>
</x:table>
</file>

<file path=xl/tables/table8.xml><?xml version="1.0" encoding="utf-8"?>
<x:table xmlns:x="http://schemas.openxmlformats.org/spreadsheetml/2006/main" id="8" name="QAGatesTable" displayName="QAGatesTable" ref="A1:D5" headerRowCount="1">
  <x:tableColumns count="4">
    <x:tableColumn id="1" name="Gate"/>
    <x:tableColumn id="2" name="Must prove"/>
    <x:tableColumn id="3" name="Evidence file(s)"/>
    <x:tableColumn id="4" name="Pass/F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d022990a2b4980" /><Relationship Type="http://schemas.openxmlformats.org/officeDocument/2006/relationships/table" Target="/xl/tables/table1.xml" Id="R6527583b4c244b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fd1cb37ced4a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66f81eb47142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0704bb35f84a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9f16310c9c46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9b3daf4e7546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ab0fe287834a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543fe7f86af458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24" customHeight="1">
      <x:c r="A1" s="6" t="str">
        <x:v>Item</x:v>
      </x:c>
      <x:c r="B1" s="6" t="str">
        <x:v>Value</x:v>
      </x:c>
      <x:c r="D1" s="15" t="str">
        <x:v>Severity</x:v>
      </x:c>
      <x:c r="E1" s="15" t="str">
        <x:v>Count</x:v>
      </x:c>
    </x:row>
    <x:row r="2" ht="24" customHeight="1">
      <x:c r="A2" s="12" t="str">
        <x:v>Bundle</x:v>
      </x:c>
      <x:c r="B2" s="12" t="str">
        <x:v>CanDoItAll WebGL Engine + Economy Simulation Research Hardening Bundle v7</x:v>
      </x:c>
      <x:c r="D2" t="str">
        <x:v>Critical</x:v>
      </x:c>
      <x:c r="E2" t="n">
        <x:f>COUNTIF(Findings!C:C,"Critical")</x:f>
        <x:v>4</x:v>
      </x:c>
    </x:row>
    <x:row r="3" ht="24" customHeight="1">
      <x:c r="A3" s="12" t="str">
        <x:v>Stage</x:v>
      </x:c>
      <x:c r="B3" s="12" t="str">
        <x:v>Prepared</x:v>
      </x:c>
      <x:c r="D3" t="str">
        <x:v>High</x:v>
      </x:c>
      <x:c r="E3" t="n">
        <x:f>COUNTIF(Findings!C:C,"High")</x:f>
        <x:v>6</x:v>
      </x:c>
    </x:row>
    <x:row r="4" ht="24" customHeight="1">
      <x:c r="A4" s="12" t="str">
        <x:v>Subbundles</x:v>
      </x:c>
      <x:c r="B4" s="12" t="n">
        <x:v>15</x:v>
      </x:c>
      <x:c r="D4" t="str">
        <x:v>Medium</x:v>
      </x:c>
      <x:c r="E4" t="n">
        <x:f>COUNTIF(Findings!C:C,"Medium")</x:f>
        <x:v>2</x:v>
      </x:c>
    </x:row>
    <x:row r="5" ht="24" customHeight="1">
      <x:c r="A5" s="12" t="str">
        <x:v>Primary verdict</x:v>
      </x:c>
      <x:c r="B5" s="12" t="str">
        <x:v>Exploratory/headless debugging is possible; research-grade claims still require strict/oracle/reproducibility gates.</x:v>
      </x:c>
    </x:row>
    <x:row r="6" ht="24" customHeight="1">
      <x:c r="A6" s="12" t="str">
        <x:v>Main immediate fix</x:v>
      </x:c>
      <x:c r="B6" s="12" t="str">
        <x:v>Runtime pause/stop settled-state proof and command lifecycle semantics.</x:v>
      </x:c>
    </x:row>
    <x:row r="7" ht="24" customHeight="1">
      <x:c r="A7" s="12" t="str">
        <x:v>Research blocker</x:v>
      </x:c>
      <x:c r="B7" s="12" t="str">
        <x:v>Strict-mode gaps: store ambiguity, unknown metric/invariant fallbacks, implicit behavior expansion, incomplete readiness certification.</x:v>
      </x:c>
    </x:row>
  </x:sheetData>
  <x:pageMargins left="0.7" right="0.7" top="0.75" bottom="0.75" header="0.3" footer="0.3"/>
  <x:drawing xmlns:r="http://schemas.openxmlformats.org/officeDocument/2006/relationships" r:id="R20d022990a2b4980"/>
  <x:tableParts count="1">
    <x:tablePart xmlns:r="http://schemas.openxmlformats.org/officeDocument/2006/relationships" r:id="R6527583b4c244b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36" hidden="0" customWidth="1"/>
    <x:col min="6" max="6" width="36" hidden="0" customWidth="1"/>
  </x:cols>
  <x:sheetData>
    <x:row r="1" ht="24" customHeight="1">
      <x:c r="A1" s="6" t="str">
        <x:v>Id</x:v>
      </x:c>
      <x:c r="B1" s="6" t="str">
        <x:v>Finding</x:v>
      </x:c>
      <x:c r="C1" s="6" t="str">
        <x:v>Severity</x:v>
      </x:c>
      <x:c r="D1" s="6" t="str">
        <x:v>Area</x:v>
      </x:c>
      <x:c r="E1" s="6" t="str">
        <x:v>Primary fix</x:v>
      </x:c>
      <x:c r="F1" s="6" t="str">
        <x:v>Subbundles</x:v>
      </x:c>
    </x:row>
    <x:row r="2" ht="24" customHeight="1">
      <x:c r="A2" s="12" t="str">
        <x:v>F01</x:v>
      </x:c>
      <x:c r="B2" s="12" t="str">
        <x:v>Runtime pause/stop proof incomplete</x:v>
      </x:c>
      <x:c r="C2" s="12" t="str">
        <x:v>High</x:v>
      </x:c>
      <x:c r="D2" s="12" t="str">
        <x:v>Components</x:v>
      </x:c>
      <x:c r="E2" s="12" t="str">
        <x:v>Add settled runtime stop/idle proof.</x:v>
      </x:c>
      <x:c r="F2" s="12" t="str">
        <x:v>SB01–SB03</x:v>
      </x:c>
    </x:row>
    <x:row r="3" ht="24" customHeight="1">
      <x:c r="A3" s="12" t="str">
        <x:v>F02</x:v>
      </x:c>
      <x:c r="B3" s="12" t="str">
        <x:v>Command batch apply conflates scheduled and settled</x:v>
      </x:c>
      <x:c r="C3" s="12" t="str">
        <x:v>Critical</x:v>
      </x:c>
      <x:c r="D3" s="12" t="str">
        <x:v>Components</x:v>
      </x:c>
      <x:c r="E3" s="12" t="str">
        <x:v>Separate scheduled vs settled command lifecycle.</x:v>
      </x:c>
      <x:c r="F3" s="12" t="str">
        <x:v>SB03</x:v>
      </x:c>
    </x:row>
    <x:row r="4" ht="24" customHeight="1">
      <x:c r="A4" s="12" t="str">
        <x:v>F03</x:v>
      </x:c>
      <x:c r="B4" s="12" t="str">
        <x:v>Readiness report is not yet a research certificate</x:v>
      </x:c>
      <x:c r="C4" s="12" t="str">
        <x:v>High</x:v>
      </x:c>
      <x:c r="D4" s="12" t="str">
        <x:v>Economy</x:v>
      </x:c>
      <x:c r="E4" s="12" t="str">
        <x:v>Upgrade readiness report to hard status model.</x:v>
      </x:c>
      <x:c r="F4" s="12" t="str">
        <x:v>SB04/SB10/SB15</x:v>
      </x:c>
    </x:row>
    <x:row r="5" ht="24" customHeight="1">
      <x:c r="A5" s="12" t="str">
        <x:v>F04</x:v>
      </x:c>
      <x:c r="B5" s="12" t="str">
        <x:v>Strict mode is not end-to-end</x:v>
      </x:c>
      <x:c r="C5" s="12" t="str">
        <x:v>Critical</x:v>
      </x:c>
      <x:c r="D5" s="12" t="str">
        <x:v>Economy</x:v>
      </x:c>
      <x:c r="E5" s="12" t="str">
        <x:v>Introduce first-class research strict policy.</x:v>
      </x:c>
      <x:c r="F5" s="12" t="str">
        <x:v>SB05</x:v>
      </x:c>
    </x:row>
    <x:row r="6" ht="24" customHeight="1">
      <x:c r="A6" s="12" t="str">
        <x:v>F05</x:v>
      </x:c>
      <x:c r="B6" s="12" t="str">
        <x:v>Implicit store resolution can change outcomes</x:v>
      </x:c>
      <x:c r="C6" s="12" t="str">
        <x:v>Critical</x:v>
      </x:c>
      <x:c r="D6" s="12" t="str">
        <x:v>Economy</x:v>
      </x:c>
      <x:c r="E6" s="12" t="str">
        <x:v>Require explicit/auditable store resolution.</x:v>
      </x:c>
      <x:c r="F6" s="12" t="str">
        <x:v>SB06</x:v>
      </x:c>
    </x:row>
    <x:row r="7" ht="24" customHeight="1">
      <x:c r="A7" s="12" t="str">
        <x:v>F06</x:v>
      </x:c>
      <x:c r="B7" s="12" t="str">
        <x:v>Unknown metric/invariant fallback can create false positives</x:v>
      </x:c>
      <x:c r="C7" s="12" t="str">
        <x:v>Critical</x:v>
      </x:c>
      <x:c r="D7" s="12" t="str">
        <x:v>Economy</x:v>
      </x:c>
      <x:c r="E7" s="12" t="str">
        <x:v>Registry-backed metrics/invariants; unknowns fail.</x:v>
      </x:c>
      <x:c r="F7" s="12" t="str">
        <x:v>SB07</x:v>
      </x:c>
    </x:row>
    <x:row r="8" ht="24" customHeight="1">
      <x:c r="A8" s="12" t="str">
        <x:v>F07</x:v>
      </x:c>
      <x:c r="B8" s="12" t="str">
        <x:v>Behavior expansion is hidden economic policy</x:v>
      </x:c>
      <x:c r="C8" s="12" t="str">
        <x:v>High</x:v>
      </x:c>
      <x:c r="D8" s="12" t="str">
        <x:v>Economy</x:v>
      </x:c>
      <x:c r="E8" s="12" t="str">
        <x:v>Declare/version/hash behavior expansion profiles.</x:v>
      </x:c>
      <x:c r="F8" s="12" t="str">
        <x:v>SB08</x:v>
      </x:c>
    </x:row>
    <x:row r="9" ht="24" customHeight="1">
      <x:c r="A9" s="12" t="str">
        <x:v>F08</x:v>
      </x:c>
      <x:c r="B9" s="12" t="str">
        <x:v>Scenario source is improved but path compatibility remains mixed</x:v>
      </x:c>
      <x:c r="C9" s="12" t="str">
        <x:v>Medium</x:v>
      </x:c>
      <x:c r="D9" s="12" t="str">
        <x:v>Economy</x:v>
      </x:c>
      <x:c r="E9" s="12" t="str">
        <x:v>Migrate research API toward catalog/source-first contracts.</x:v>
      </x:c>
      <x:c r="F9" s="12" t="str">
        <x:v>SB10/SB11</x:v>
      </x:c>
    </x:row>
    <x:row r="10" ht="24" customHeight="1">
      <x:c r="A10" s="12" t="str">
        <x:v>F09</x:v>
      </x:c>
      <x:c r="B10" s="12" t="str">
        <x:v>Performance budgets are not hard gates</x:v>
      </x:c>
      <x:c r="C10" s="12" t="str">
        <x:v>High</x:v>
      </x:c>
      <x:c r="D10" s="12" t="str">
        <x:v>Cross-repo</x:v>
      </x:c>
      <x:c r="E10" s="12" t="str">
        <x:v>Convert budgets from warnings to readiness gates.</x:v>
      </x:c>
      <x:c r="F10" s="12" t="str">
        <x:v>SB14</x:v>
      </x:c>
    </x:row>
    <x:row r="11" ht="24" customHeight="1">
      <x:c r="A11" s="12" t="str">
        <x:v>F10</x:v>
      </x:c>
      <x:c r="B11" s="12" t="str">
        <x:v>Visualization can still contaminate interpretation</x:v>
      </x:c>
      <x:c r="C11" s="12" t="str">
        <x:v>High</x:v>
      </x:c>
      <x:c r="D11" s="12" t="str">
        <x:v>Cross-repo</x:v>
      </x:c>
      <x:c r="E11" s="12" t="str">
        <x:v>Keep WebGL observer-only.</x:v>
      </x:c>
      <x:c r="F11" s="12" t="str">
        <x:v>SB13</x:v>
      </x:c>
    </x:row>
    <x:row r="12" ht="24" customHeight="1">
      <x:c r="A12" s="12" t="str">
        <x:v>F11</x:v>
      </x:c>
      <x:c r="B12" s="12" t="str">
        <x:v>Artifact reproducibility not yet complete</x:v>
      </x:c>
      <x:c r="C12" s="12" t="str">
        <x:v>High</x:v>
      </x:c>
      <x:c r="D12" s="12" t="str">
        <x:v>Economy</x:v>
      </x:c>
      <x:c r="E12" s="12" t="str">
        <x:v>Emit reproducibility manifests and artifact hashes.</x:v>
      </x:c>
      <x:c r="F12" s="12" t="str">
        <x:v>SB11</x:v>
      </x:c>
    </x:row>
    <x:row r="13" ht="24" customHeight="1">
      <x:c r="A13" s="12" t="str">
        <x:v>F12</x:v>
      </x:c>
      <x:c r="B13" s="12" t="str">
        <x:v>No experiment design matrix yet</x:v>
      </x:c>
      <x:c r="C13" s="12" t="str">
        <x:v>Medium</x:v>
      </x:c>
      <x:c r="D13" s="12" t="str">
        <x:v>Economy</x:v>
      </x:c>
      <x:c r="E13" s="12" t="str">
        <x:v>Add design-matrix/seed harness.</x:v>
      </x:c>
      <x:c r="F13" s="12" t="str">
        <x:v>SB12</x:v>
      </x:c>
    </x:row>
  </x:sheetData>
  <x:conditionalFormatting sqref="C2:C50">
    <x:cfRule type="expression" dxfId="0" priority="1">
      <x:formula>C2="Critical"</x:formula>
    </x:cfRule>
    <x:cfRule type="expression" dxfId="1" priority="2">
      <x:formula>C2="High"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fd1cb37ced4a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36" hidden="0" customWidth="1"/>
    <x:col min="6" max="6" width="36" hidden="0" customWidth="1"/>
  </x:cols>
  <x:sheetData>
    <x:row r="1" ht="24" customHeight="1">
      <x:c r="A1" s="6" t="str">
        <x:v>Id</x:v>
      </x:c>
      <x:c r="B1" s="6" t="str">
        <x:v>Title</x:v>
      </x:c>
      <x:c r="C1" s="6" t="str">
        <x:v>Repo</x:v>
      </x:c>
      <x:c r="D1" s="6" t="str">
        <x:v>Priority</x:v>
      </x:c>
      <x:c r="E1" s="6" t="str">
        <x:v>Gate</x:v>
      </x:c>
      <x:c r="F1" s="6" t="str">
        <x:v>Core deliverable</x:v>
      </x:c>
    </x:row>
    <x:row r="2" ht="24" customHeight="1">
      <x:c r="A2" s="12" t="str">
        <x:v>SB01</x:v>
      </x:c>
      <x:c r="B2" s="12" t="str">
        <x:v>Current-state and proof integrity audit</x:v>
      </x:c>
      <x:c r="C2" s="12" t="str">
        <x:v>Both</x:v>
      </x:c>
      <x:c r="D2" s="12" t="str">
        <x:v>P0</x:v>
      </x:c>
      <x:c r="E2" s="12" t="str">
        <x:v>Stop if proof claims cannot be reconciled with actual artifacts.</x:v>
      </x:c>
      <x:c r="F2" s="12" t="str">
        <x:v>Establish a trusted baseline after v6 and prevent proof artifacts from hiding empty transcripts or stale claims.</x:v>
      </x:c>
    </x:row>
    <x:row r="3" ht="24" customHeight="1">
      <x:c r="A3" s="12" t="str">
        <x:v>SB02</x:v>
      </x:c>
      <x:c r="B3" s="12" t="str">
        <x:v>Runtime pause and idle settled-state contract</x:v>
      </x:c>
      <x:c r="C3" s="12" t="str">
        <x:v>Components</x:v>
      </x:c>
      <x:c r="D3" s="12" t="str">
        <x:v>P0</x:v>
      </x:c>
      <x:c r="E3" s="12" t="str">
        <x:v>Pause is not fixed until diagnostics prove settled browser runtime state.</x:v>
      </x:c>
      <x:c r="F3" s="12" t="str">
        <x:v>Make pause/cancel a browser-runtime settled-state operation, not only a C# cancellation flag.</x:v>
      </x:c>
    </x:row>
    <x:row r="4" ht="24" customHeight="1">
      <x:c r="A4" s="12" t="str">
        <x:v>SB03</x:v>
      </x:c>
      <x:c r="B4" s="12" t="str">
        <x:v>WebGL command lifecycle semantics</x:v>
      </x:c>
      <x:c r="C4" s="12" t="str">
        <x:v>Components</x:v>
      </x:c>
      <x:c r="D4" s="12" t="str">
        <x:v>P0</x:v>
      </x:c>
      <x:c r="E4" s="12" t="str">
        <x:v>Forced refactor review before continuing to economic readiness work.</x:v>
      </x:c>
      <x:c r="F4" s="12" t="str">
        <x:v>Separate accepted, scheduled, active, settled, cancelled, and failed command states across JS and C#.</x:v>
      </x:c>
    </x:row>
    <x:row r="5" ht="24" customHeight="1">
      <x:c r="A5" s="12" t="str">
        <x:v>SB04</x:v>
      </x:c>
      <x:c r="B5" s="12" t="str">
        <x:v>ExperimentReadinessReport v2 hard gates</x:v>
      </x:c>
      <x:c r="C5" s="12" t="str">
        <x:v>Economy</x:v>
      </x:c>
      <x:c r="D5" s="12" t="str">
        <x:v>P0</x:v>
      </x:c>
      <x:c r="E5" s="12" t="str">
        <x:v>Readiness report must be useful for deciding whether an experiment can support claims.</x:v>
      </x:c>
      <x:c r="F5" s="12" t="str">
        <x:v>Convert readiness reporting from advisory text into machine-readable, hard-gated experiment status.</x:v>
      </x:c>
    </x:row>
    <x:row r="6" ht="24" customHeight="1">
      <x:c r="A6" s="12" t="str">
        <x:v>SB05</x:v>
      </x:c>
      <x:c r="B6" s="12" t="str">
        <x:v>Strict simulation mode as first-class policy</x:v>
      </x:c>
      <x:c r="C6" s="12" t="str">
        <x:v>Economy</x:v>
      </x:c>
      <x:c r="D6" s="12" t="str">
        <x:v>P0</x:v>
      </x:c>
      <x:c r="E6" s="12" t="str">
        <x:v>Strict mode must be the default for readiness reports used in research claims.</x:v>
      </x:c>
      <x:c r="F6" s="12" t="str">
        <x:v>Make simulator-noise conditions fail explicitly in research mode.</x:v>
      </x:c>
    </x:row>
    <x:row r="7" ht="24" customHeight="1">
      <x:c r="A7" s="12" t="str">
        <x:v>SB06</x:v>
      </x:c>
      <x:c r="B7" s="12" t="str">
        <x:v>Store resolution and transfer ambiguity hardening</x:v>
      </x:c>
      <x:c r="C7" s="12" t="str">
        <x:v>Economy</x:v>
      </x:c>
      <x:c r="D7" s="12" t="str">
        <x:v>P0</x:v>
      </x:c>
      <x:c r="E7" s="12" t="str">
        <x:v>No economic result can depend on incidental StoreId ordering.</x:v>
      </x:c>
      <x:c r="F7" s="12" t="str">
        <x:v>Remove hidden first-match/fallback store selection from research-mode economic behavior.</x:v>
      </x:c>
    </x:row>
    <x:row r="8" ht="24" customHeight="1">
      <x:c r="A8" s="12" t="str">
        <x:v>SB07</x:v>
      </x:c>
      <x:c r="B8" s="12" t="str">
        <x:v>Metric and invariant registry hardening</x:v>
      </x:c>
      <x:c r="C8" s="12" t="str">
        <x:v>Economy</x:v>
      </x:c>
      <x:c r="D8" s="12" t="str">
        <x:v>P0</x:v>
      </x:c>
      <x:c r="E8" s="12" t="str">
        <x:v>No readiness report may pass if metrics/invariants use fallback behavior.</x:v>
      </x:c>
      <x:c r="F8" s="12" t="str">
        <x:v>Prevent unknown or misspelled metrics/invariants from silently passing with default values.</x:v>
      </x:c>
    </x:row>
    <x:row r="9" ht="24" customHeight="1">
      <x:c r="A9" s="12" t="str">
        <x:v>SB08</x:v>
      </x:c>
      <x:c r="B9" s="12" t="str">
        <x:v>Versioned behavior-expansion profiles</x:v>
      </x:c>
      <x:c r="C9" s="12" t="str">
        <x:v>Economy</x:v>
      </x:c>
      <x:c r="D9" s="12" t="str">
        <x:v>P0</x:v>
      </x:c>
      <x:c r="E9" s="12" t="str">
        <x:v>Forced refactor review after SB08.</x:v>
      </x:c>
      <x:c r="F9" s="12" t="str">
        <x:v>Make automatic event expansion explicit, versioned, declared, and hashable.</x:v>
      </x:c>
    </x:row>
    <x:row r="10" ht="24" customHeight="1">
      <x:c r="A10" s="12" t="str">
        <x:v>SB09</x:v>
      </x:c>
      <x:c r="B10" s="12" t="str">
        <x:v>Golden oracle suite and deterministic hash chains</x:v>
      </x:c>
      <x:c r="C10" s="12" t="str">
        <x:v>Economy</x:v>
      </x:c>
      <x:c r="D10" s="12" t="str">
        <x:v>P0</x:v>
      </x:c>
      <x:c r="E10" s="12" t="str">
        <x:v>No scenario classification above exploratory without oracle coverage or explicit no-oracle label.</x:v>
      </x:c>
      <x:c r="F10" s="12" t="str">
        <x:v>Prove core economic semantics with small scenarios where every expected frame/flow/metric is known.</x:v>
      </x:c>
    </x:row>
    <x:row r="11" ht="24" customHeight="1">
      <x:c r="A11" s="12" t="str">
        <x:v>SB10</x:v>
      </x:c>
      <x:c r="B11" s="12" t="str">
        <x:v>Headless experiment runner and scenario-source API</x:v>
      </x:c>
      <x:c r="C11" s="12" t="str">
        <x:v>Economy</x:v>
      </x:c>
      <x:c r="D11" s="12" t="str">
        <x:v>P0</x:v>
      </x:c>
      <x:c r="E11" s="12" t="str">
        <x:v>Headless runner becomes the research source of truth.</x:v>
      </x:c>
      <x:c r="F11" s="12" t="str">
        <x:v>Make headless runs the canonical way to investigate simulations.</x:v>
      </x:c>
    </x:row>
    <x:row r="12" ht="24" customHeight="1">
      <x:c r="A12" s="12" t="str">
        <x:v>SB11</x:v>
      </x:c>
      <x:c r="B12" s="12" t="str">
        <x:v>Reproducibility manifest and artifact lake</x:v>
      </x:c>
      <x:c r="C12" s="12" t="str">
        <x:v>Economy</x:v>
      </x:c>
      <x:c r="D12" s="12" t="str">
        <x:v>P1</x:v>
      </x:c>
      <x:c r="E12" s="12" t="str">
        <x:v>Artifacts must be sufficient for later audit without rerunning UI.</x:v>
      </x:c>
      <x:c r="F12" s="12" t="str">
        <x:v>Make every run reproducible and auditable.</x:v>
      </x:c>
    </x:row>
    <x:row r="13" ht="24" customHeight="1">
      <x:c r="A13" s="12" t="str">
        <x:v>SB12</x:v>
      </x:c>
      <x:c r="B13" s="12" t="str">
        <x:v>Statistical experiment harness and noise isolation</x:v>
      </x:c>
      <x:c r="C13" s="12" t="str">
        <x:v>Economy</x:v>
      </x:c>
      <x:c r="D13" s="12" t="str">
        <x:v>P1</x:v>
      </x:c>
      <x:c r="E13" s="12" t="str">
        <x:v>Scenario comparison requires explicit design matrix or single-run exploratory label.</x:v>
      </x:c>
      <x:c r="F13" s="12" t="str">
        <x:v>Support robust economic investigation with repeated runs, factor sweeps, and seed matrices.</x:v>
      </x:c>
    </x:row>
    <x:row r="14" ht="24" customHeight="1">
      <x:c r="A14" s="12" t="str">
        <x:v>SB13</x:v>
      </x:c>
      <x:c r="B14" s="12" t="str">
        <x:v>Visualization observer boundary</x:v>
      </x:c>
      <x:c r="C14" s="12" t="str">
        <x:v>Both</x:v>
      </x:c>
      <x:c r="D14" s="12" t="str">
        <x:v>P1</x:v>
      </x:c>
      <x:c r="E14" s="12" t="str">
        <x:v>Visualization must never be the economic source of truth.</x:v>
      </x:c>
      <x:c r="F14" s="12" t="str">
        <x:v>Ensure WebGL visualization cannot change economic truth or hide simulation errors.</x:v>
      </x:c>
    </x:row>
    <x:row r="15" ht="24" customHeight="1">
      <x:c r="A15" s="12" t="str">
        <x:v>SB14</x:v>
      </x:c>
      <x:c r="B15" s="12" t="str">
        <x:v>Performance budgets and large-run stress gates</x:v>
      </x:c>
      <x:c r="C15" s="12" t="str">
        <x:v>Both</x:v>
      </x:c>
      <x:c r="D15" s="12" t="str">
        <x:v>P1</x:v>
      </x:c>
      <x:c r="E15" s="12" t="str">
        <x:v>Performance noise must be classified before interpreting economics.</x:v>
      </x:c>
      <x:c r="F15" s="12" t="str">
        <x:v>Make performance results actionable and prevent slow/oversized runs from being misclassified as ready.</x:v>
      </x:c>
    </x:row>
    <x:row r="16" ht="24" customHeight="1">
      <x:c r="A16" s="12" t="str">
        <x:v>SB15</x:v>
      </x:c>
      <x:c r="B16" s="12" t="str">
        <x:v>Final cross-repo red-team closure</x:v>
      </x:c>
      <x:c r="C16" s="12" t="str">
        <x:v>Both</x:v>
      </x:c>
      <x:c r="D16" s="12" t="str">
        <x:v>P1</x:v>
      </x:c>
      <x:c r="E16" s="12" t="str">
        <x:v>Bundle complete only when research-readiness claims are honest and evidence-backed.</x:v>
      </x:c>
      <x:c r="F16" s="12" t="str">
        <x:v>Validate that the simulator can separate economic failures from infrastructure/runtime/projection bugs.</x:v>
      </x:c>
    </x:row>
  </x:sheetData>
  <x:conditionalFormatting sqref="D2:D40">
    <x:cfRule type="expression" dxfId="2" priority="1">
      <x:formula>D2="P0"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66f81eb47142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36" hidden="0" customWidth="1"/>
  </x:cols>
  <x:sheetData>
    <x:row r="1" ht="24" customHeight="1">
      <x:c r="A1" s="6" t="str">
        <x:v>Area</x:v>
      </x:c>
      <x:c r="B1" s="6" t="str">
        <x:v>Required test/proof</x:v>
      </x:c>
      <x:c r="C1" s="6" t="str">
        <x:v>Type</x:v>
      </x:c>
      <x:c r="D1" s="6" t="str">
        <x:v>Hard gate?</x:v>
      </x:c>
      <x:c r="E1" s="6" t="str">
        <x:v>Subbundle</x:v>
      </x:c>
    </x:row>
    <x:row r="2" ht="24" customHeight="1">
      <x:c r="A2" s="12" t="str">
        <x:v>Pause/Stop</x:v>
      </x:c>
      <x:c r="B2" s="12" t="str">
        <x:v>Click Play, then Pause during active motion; prove runtime idle with diagnostics.</x:v>
      </x:c>
      <x:c r="C2" s="12" t="str">
        <x:v>Browser assertion</x:v>
      </x:c>
      <x:c r="D2" s="12" t="str">
        <x:v>Yes</x:v>
      </x:c>
      <x:c r="E2" s="12" t="str">
        <x:v>SB02</x:v>
      </x:c>
    </x:row>
    <x:row r="3" ht="24" customHeight="1">
      <x:c r="A3" s="12" t="str">
        <x:v>Command lifecycle</x:v>
      </x:c>
      <x:c r="B3" s="12" t="str">
        <x:v>Batch with delayed stages must report scheduled vs settled state.</x:v>
      </x:c>
      <x:c r="C3" s="12" t="str">
        <x:v>Unit + browser</x:v>
      </x:c>
      <x:c r="D3" s="12" t="str">
        <x:v>Yes</x:v>
      </x:c>
      <x:c r="E3" s="12" t="str">
        <x:v>SB03</x:v>
      </x:c>
    </x:row>
    <x:row r="4" ht="24" customHeight="1">
      <x:c r="A4" s="12" t="str">
        <x:v>Readiness report</x:v>
      </x:c>
      <x:c r="B4" s="12" t="str">
        <x:v>Report must output status and researchReady=false unless all gates pass.</x:v>
      </x:c>
      <x:c r="C4" s="12" t="str">
        <x:v>Unit</x:v>
      </x:c>
      <x:c r="D4" s="12" t="str">
        <x:v>Yes</x:v>
      </x:c>
      <x:c r="E4" s="12" t="str">
        <x:v>SB04</x:v>
      </x:c>
    </x:row>
    <x:row r="5" ht="24" customHeight="1">
      <x:c r="A5" s="12" t="str">
        <x:v>Strict policy</x:v>
      </x:c>
      <x:c r="B5" s="12" t="str">
        <x:v>Unknown event, ambiguous store, unknown metric and unresolved mapping all fail.</x:v>
      </x:c>
      <x:c r="C5" s="12" t="str">
        <x:v>Unit</x:v>
      </x:c>
      <x:c r="D5" s="12" t="str">
        <x:v>Yes</x:v>
      </x:c>
      <x:c r="E5" s="12" t="str">
        <x:v>SB05</x:v>
      </x:c>
    </x:row>
    <x:row r="6" ht="24" customHeight="1">
      <x:c r="A6" s="12" t="str">
        <x:v>Store resolution</x:v>
      </x:c>
      <x:c r="B6" s="12" t="str">
        <x:v>Two candidate stores require explicit policy in strict mode.</x:v>
      </x:c>
      <x:c r="C6" s="12" t="str">
        <x:v>Unit/oracle</x:v>
      </x:c>
      <x:c r="D6" s="12" t="str">
        <x:v>Yes</x:v>
      </x:c>
      <x:c r="E6" s="12" t="str">
        <x:v>SB06</x:v>
      </x:c>
    </x:row>
    <x:row r="7" ht="24" customHeight="1">
      <x:c r="A7" s="12" t="str">
        <x:v>Metrics</x:v>
      </x:c>
      <x:c r="B7" s="12" t="str">
        <x:v>Unknown metric kind fails; HHI/top-share exact oracle passes.</x:v>
      </x:c>
      <x:c r="C7" s="12" t="str">
        <x:v>Unit/oracle</x:v>
      </x:c>
      <x:c r="D7" s="12" t="str">
        <x:v>Yes</x:v>
      </x:c>
      <x:c r="E7" s="12" t="str">
        <x:v>SB07</x:v>
      </x:c>
    </x:row>
    <x:row r="8" ht="24" customHeight="1">
      <x:c r="A8" s="12" t="str">
        <x:v>Behavior profile</x:v>
      </x:c>
      <x:c r="B8" s="12" t="str">
        <x:v>Changing expansion profile changes manifest/hash.</x:v>
      </x:c>
      <x:c r="C8" s="12" t="str">
        <x:v>Unit</x:v>
      </x:c>
      <x:c r="D8" s="12" t="str">
        <x:v>Yes</x:v>
      </x:c>
      <x:c r="E8" s="12" t="str">
        <x:v>SB08</x:v>
      </x:c>
    </x:row>
    <x:row r="9" ht="24" customHeight="1">
      <x:c r="A9" s="12" t="str">
        <x:v>Golden oracles</x:v>
      </x:c>
      <x:c r="B9" s="12" t="str">
        <x:v>Single transfer, insufficient stock, trade+fee, shared depletion pass exact expected frames.</x:v>
      </x:c>
      <x:c r="C9" s="12" t="str">
        <x:v>Oracle</x:v>
      </x:c>
      <x:c r="D9" s="12" t="str">
        <x:v>Yes</x:v>
      </x:c>
      <x:c r="E9" s="12" t="str">
        <x:v>SB09</x:v>
      </x:c>
    </x:row>
    <x:row r="10" ht="24" customHeight="1">
      <x:c r="A10" s="12" t="str">
        <x:v>Headless runner</x:v>
      </x:c>
      <x:c r="B10" s="12" t="str">
        <x:v>Run scenario by id with self-contained artifacts.</x:v>
      </x:c>
      <x:c r="C10" s="12" t="str">
        <x:v>CLI/integration</x:v>
      </x:c>
      <x:c r="D10" s="12" t="str">
        <x:v>Yes</x:v>
      </x:c>
      <x:c r="E10" s="12" t="str">
        <x:v>SB10</x:v>
      </x:c>
    </x:row>
    <x:row r="11" ht="24" customHeight="1">
      <x:c r="A11" s="12" t="str">
        <x:v>Reproducibility</x:v>
      </x:c>
      <x:c r="B11" s="12" t="str">
        <x:v>Two identical deterministic runs produce identical frame hash chains.</x:v>
      </x:c>
      <x:c r="C11" s="12" t="str">
        <x:v>Integration</x:v>
      </x:c>
      <x:c r="D11" s="12" t="str">
        <x:v>Yes</x:v>
      </x:c>
      <x:c r="E11" s="12" t="str">
        <x:v>SB11</x:v>
      </x:c>
    </x:row>
    <x:row r="12" ht="24" customHeight="1">
      <x:c r="A12" s="12" t="str">
        <x:v>Design matrix</x:v>
      </x:c>
      <x:c r="B12" s="12" t="str">
        <x:v>Deterministic repeated runs equal; stochastic runs record seed/variance.</x:v>
      </x:c>
      <x:c r="C12" s="12" t="str">
        <x:v>Integration</x:v>
      </x:c>
      <x:c r="D12" s="12" t="str">
        <x:v>Yes</x:v>
      </x:c>
      <x:c r="E12" s="12" t="str">
        <x:v>SB12</x:v>
      </x:c>
    </x:row>
    <x:row r="13" ht="24" customHeight="1">
      <x:c r="A13" s="12" t="str">
        <x:v>Observer boundary</x:v>
      </x:c>
      <x:c r="B13" s="12" t="str">
        <x:v>Browser visual proof cannot mutate headless artifacts.</x:v>
      </x:c>
      <x:c r="C13" s="12" t="str">
        <x:v>Browser/integration</x:v>
      </x:c>
      <x:c r="D13" s="12" t="str">
        <x:v>Yes</x:v>
      </x:c>
      <x:c r="E13" s="12" t="str">
        <x:v>SB13</x:v>
      </x:c>
    </x:row>
    <x:row r="14" ht="24" customHeight="1">
      <x:c r="A14" s="12" t="str">
        <x:v>Performance</x:v>
      </x:c>
      <x:c r="B14" s="12" t="str">
        <x:v>Budget failures mark run not-comparable, not model-failed.</x:v>
      </x:c>
      <x:c r="C14" s="12" t="str">
        <x:v>Performance</x:v>
      </x:c>
      <x:c r="D14" s="12" t="str">
        <x:v>Yes</x:v>
      </x:c>
      <x:c r="E14" s="12" t="str">
        <x:v>SB14</x:v>
      </x:c>
    </x:row>
    <x:row r="15" ht="24" customHeight="1">
      <x:c r="A15" s="12" t="str">
        <x:v>Red team</x:v>
      </x:c>
      <x:c r="B15" s="12" t="str">
        <x:v>Five failure modes classified correctly.</x:v>
      </x:c>
      <x:c r="C15" s="12" t="str">
        <x:v>Cross-repo</x:v>
      </x:c>
      <x:c r="D15" s="12" t="str">
        <x:v>Yes</x:v>
      </x:c>
      <x:c r="E15" s="12" t="str">
        <x:v>SB15</x:v>
      </x:c>
    </x:row>
  </x:sheetData>
  <x:pageMargins left="0.7" right="0.7" top="0.75" bottom="0.75" header="0.3" footer="0.3"/>
  <x:tableParts count="1">
    <x:tablePart xmlns:r="http://schemas.openxmlformats.org/officeDocument/2006/relationships" r:id="Rf30704bb35f84a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36" hidden="0" customWidth="1"/>
  </x:cols>
  <x:sheetData>
    <x:row r="1" ht="24" customHeight="1">
      <x:c r="A1" s="6" t="str">
        <x:v>Oracle</x:v>
      </x:c>
      <x:c r="B1" s="6" t="str">
        <x:v>Purpose</x:v>
      </x:c>
      <x:c r="C1" s="6" t="str">
        <x:v>Expected evidence</x:v>
      </x:c>
      <x:c r="D1" s="6" t="str">
        <x:v>Why it reduces simulator noise</x:v>
      </x:c>
      <x:c r="E1" s="6" t="str">
        <x:v>Subbundle</x:v>
      </x:c>
    </x:row>
    <x:row r="2" ht="24" customHeight="1">
      <x:c r="A2" s="12" t="str">
        <x:v>single-transfer</x:v>
      </x:c>
      <x:c r="B2" s="12" t="str">
        <x:v>Validate conservation and exact transfer flow.</x:v>
      </x:c>
      <x:c r="C2" s="12" t="str">
        <x:v>store quantities, flow ids, frame hash</x:v>
      </x:c>
      <x:c r="D2" s="12" t="str">
        <x:v>Catches transfer math bugs.</x:v>
      </x:c>
      <x:c r="E2" s="12" t="str">
        <x:v>SB09</x:v>
      </x:c>
    </x:row>
    <x:row r="3" ht="24" customHeight="1">
      <x:c r="A3" s="12" t="str">
        <x:v>insufficient-stock</x:v>
      </x:c>
      <x:c r="B3" s="12" t="str">
        <x:v>Validate rejection semantics.</x:v>
      </x:c>
      <x:c r="C3" s="12" t="str">
        <x:v>rejected flow + issue/warning/error</x:v>
      </x:c>
      <x:c r="D3" s="12" t="str">
        <x:v>Prevents hidden negative-store behavior.</x:v>
      </x:c>
      <x:c r="E3" s="12" t="str">
        <x:v>SB06/SB09</x:v>
      </x:c>
    </x:row>
    <x:row r="4" ht="24" customHeight="1">
      <x:c r="A4" s="12" t="str">
        <x:v>capacity-rejection</x:v>
      </x:c>
      <x:c r="B4" s="12" t="str">
        <x:v>Validate target capacity clamp/rejection.</x:v>
      </x:c>
      <x:c r="C4" s="12" t="str">
        <x:v>accepted/rejected split</x:v>
      </x:c>
      <x:c r="D4" s="12" t="str">
        <x:v>Separates economic shortage from capacity bug.</x:v>
      </x:c>
      <x:c r="E4" s="12" t="str">
        <x:v>SB06/SB09</x:v>
      </x:c>
    </x:row>
    <x:row r="5" ht="24" customHeight="1">
      <x:c r="A5" s="12" t="str">
        <x:v>shared-resource-depletion</x:v>
      </x:c>
      <x:c r="B5" s="12" t="str">
        <x:v>Validate commons depletion dynamics.</x:v>
      </x:c>
      <x:c r="C5" s="12" t="str">
        <x:v>resource totals per frame</x:v>
      </x:c>
      <x:c r="D5" s="12" t="str">
        <x:v>Baseline for Ostrom/Tainter experiments.</x:v>
      </x:c>
      <x:c r="E5" s="12" t="str">
        <x:v>SB09</x:v>
      </x:c>
    </x:row>
    <x:row r="6" ht="24" customHeight="1">
      <x:c r="A6" s="12" t="str">
        <x:v>trade-plus-fee</x:v>
      </x:c>
      <x:c r="B6" s="12" t="str">
        <x:v>Validate exchange and admin/tax fee semantics.</x:v>
      </x:c>
      <x:c r="C6" s="12" t="str">
        <x:v>buyer/seller/admin stores + flows</x:v>
      </x:c>
      <x:c r="D6" s="12" t="str">
        <x:v>Catches hidden fee/transfer bugs.</x:v>
      </x:c>
      <x:c r="E6" s="12" t="str">
        <x:v>SB09</x:v>
      </x:c>
    </x:row>
    <x:row r="7" ht="24" customHeight="1">
      <x:c r="A7" s="12" t="str">
        <x:v>relationship-update</x:v>
      </x:c>
      <x:c r="B7" s="12" t="str">
        <x:v>Validate non-resource social state.</x:v>
      </x:c>
      <x:c r="C7" s="12" t="str">
        <x:v>relationship strength diff/hash</x:v>
      </x:c>
      <x:c r="D7" s="12" t="str">
        <x:v>Prevents relationship metric noise.</x:v>
      </x:c>
      <x:c r="E7" s="12" t="str">
        <x:v>SB09</x:v>
      </x:c>
    </x:row>
    <x:row r="8" ht="24" customHeight="1">
      <x:c r="A8" s="12" t="str">
        <x:v>rule-violation-enforcement</x:v>
      </x:c>
      <x:c r="B8" s="12" t="str">
        <x:v>Validate governance event chain.</x:v>
      </x:c>
      <x:c r="C8" s="12" t="str">
        <x:v>issues + rule flows + admin burden</x:v>
      </x:c>
      <x:c r="D8" s="12" t="str">
        <x:v>Separates governance model from simulator artifact.</x:v>
      </x:c>
      <x:c r="E8" s="12" t="str">
        <x:v>SB08/SB09</x:v>
      </x:c>
    </x:row>
  </x:sheetData>
  <x:pageMargins left="0.7" right="0.7" top="0.75" bottom="0.75" header="0.3" footer="0.3"/>
  <x:tableParts count="1">
    <x:tablePart xmlns:r="http://schemas.openxmlformats.org/officeDocument/2006/relationships" r:id="R659f16310c9c46a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36" hidden="0" customWidth="1"/>
  </x:cols>
  <x:sheetData>
    <x:row r="1" ht="24" customHeight="1">
      <x:c r="A1" s="6" t="str">
        <x:v>Risk</x:v>
      </x:c>
      <x:c r="B1" s="6" t="str">
        <x:v>Impact</x:v>
      </x:c>
      <x:c r="C1" s="6" t="str">
        <x:v>Likelihood</x:v>
      </x:c>
      <x:c r="D1" s="6" t="str">
        <x:v>Mitigation</x:v>
      </x:c>
      <x:c r="E1" s="6" t="str">
        <x:v>Owner area</x:v>
      </x:c>
    </x:row>
    <x:row r="2" ht="24" customHeight="1">
      <x:c r="A2" s="12" t="str">
        <x:v>Pause appears stopped but motions continue</x:v>
      </x:c>
      <x:c r="B2" s="12" t="str">
        <x:v>False browser proof</x:v>
      </x:c>
      <x:c r="C2" s="12" t="str">
        <x:v>Medium</x:v>
      </x:c>
      <x:c r="D2" s="12" t="str">
        <x:v>Runtime idle/settled diagnostics and callback generation guard</x:v>
      </x:c>
      <x:c r="E2" s="12" t="str">
        <x:v>Components</x:v>
      </x:c>
    </x:row>
    <x:row r="3" ht="24" customHeight="1">
      <x:c r="A3" s="12" t="str">
        <x:v>Scheduled command interpreted as completed</x:v>
      </x:c>
      <x:c r="B3" s="12" t="str">
        <x:v>False pass in replay/performance proof</x:v>
      </x:c>
      <x:c r="C3" s="12" t="str">
        <x:v>High</x:v>
      </x:c>
      <x:c r="D3" s="12" t="str">
        <x:v>Command lifecycle states + wait-for-idle API</x:v>
      </x:c>
      <x:c r="E3" s="12" t="str">
        <x:v>Components</x:v>
      </x:c>
    </x:row>
    <x:row r="4" ht="24" customHeight="1">
      <x:c r="A4" s="12" t="str">
        <x:v>Warning interpreted as acceptable experiment output</x:v>
      </x:c>
      <x:c r="B4" s="12" t="str">
        <x:v>False economic conclusion</x:v>
      </x:c>
      <x:c r="C4" s="12" t="str">
        <x:v>High</x:v>
      </x:c>
      <x:c r="D4" s="12" t="str">
        <x:v>Research strict warnings budget</x:v>
      </x:c>
      <x:c r="E4" s="12" t="str">
        <x:v>Economy</x:v>
      </x:c>
    </x:row>
    <x:row r="5" ht="24" customHeight="1">
      <x:c r="A5" s="12" t="str">
        <x:v>Implicit store selection changes outcome</x:v>
      </x:c>
      <x:c r="B5" s="12" t="str">
        <x:v>Unstable economic results</x:v>
      </x:c>
      <x:c r="C5" s="12" t="str">
        <x:v>High</x:v>
      </x:c>
      <x:c r="D5" s="12" t="str">
        <x:v>Explicit store resolution policy/oracle tests</x:v>
      </x:c>
      <x:c r="E5" s="12" t="str">
        <x:v>Economy</x:v>
      </x:c>
    </x:row>
    <x:row r="6" ht="24" customHeight="1">
      <x:c r="A6" s="12" t="str">
        <x:v>Unknown metric returns default 0</x:v>
      </x:c>
      <x:c r="B6" s="12" t="str">
        <x:v>False positive invariant</x:v>
      </x:c>
      <x:c r="C6" s="12" t="str">
        <x:v>High</x:v>
      </x:c>
      <x:c r="D6" s="12" t="str">
        <x:v>Metric/invariant registry errors</x:v>
      </x:c>
      <x:c r="E6" s="12" t="str">
        <x:v>Economy</x:v>
      </x:c>
    </x:row>
    <x:row r="7" ht="24" customHeight="1">
      <x:c r="A7" s="12" t="str">
        <x:v>Behavior expander changes hidden semantics</x:v>
      </x:c>
      <x:c r="B7" s="12" t="str">
        <x:v>Non-comparable runs</x:v>
      </x:c>
      <x:c r="C7" s="12" t="str">
        <x:v>Medium</x:v>
      </x:c>
      <x:c r="D7" s="12" t="str">
        <x:v>Versioned profile hash in manifest</x:v>
      </x:c>
      <x:c r="E7" s="12" t="str">
        <x:v>Economy</x:v>
      </x:c>
    </x:row>
    <x:row r="8" ht="24" customHeight="1">
      <x:c r="A8" s="12" t="str">
        <x:v>Browser visualization mutates interpretation</x:v>
      </x:c>
      <x:c r="B8" s="12" t="str">
        <x:v>Confusing UI state with economic truth</x:v>
      </x:c>
      <x:c r="C8" s="12" t="str">
        <x:v>Medium</x:v>
      </x:c>
      <x:c r="D8" s="12" t="str">
        <x:v>Observer-only boundary and hash comparison</x:v>
      </x:c>
      <x:c r="E8" s="12" t="str">
        <x:v>Both</x:v>
      </x:c>
    </x:row>
    <x:row r="9" ht="24" customHeight="1">
      <x:c r="A9" s="12" t="str">
        <x:v>Performance overload alters experiment interpretation</x:v>
      </x:c>
      <x:c r="B9" s="12" t="str">
        <x:v>Timeouts mistaken for economic collapse</x:v>
      </x:c>
      <x:c r="C9" s="12" t="str">
        <x:v>Medium</x:v>
      </x:c>
      <x:c r="D9" s="12" t="str">
        <x:v>Hard performance budget status</x:v>
      </x:c>
      <x:c r="E9" s="12" t="str">
        <x:v>Both</x:v>
      </x:c>
    </x:row>
  </x:sheetData>
  <x:pageMargins left="0.7" right="0.7" top="0.75" bottom="0.75" header="0.3" footer="0.3"/>
  <x:tableParts count="1">
    <x:tablePart xmlns:r="http://schemas.openxmlformats.org/officeDocument/2006/relationships" r:id="R3e9b3daf4e7546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Requirement</x:v>
      </x:c>
      <x:c r="B1" s="6" t="str">
        <x:v>Finding(s)</x:v>
      </x:c>
      <x:c r="C1" s="6" t="str">
        <x:v>Subbundles</x:v>
      </x:c>
      <x:c r="D1" s="6" t="str">
        <x:v>Done criteria</x:v>
      </x:c>
    </x:row>
    <x:row r="2" ht="24" customHeight="1">
      <x:c r="A2" s="12" t="str">
        <x:v>R01</x:v>
      </x:c>
      <x:c r="B2" s="12" t="str">
        <x:v>F01</x:v>
      </x:c>
      <x:c r="C2" s="12" t="str">
        <x:v>SB01,SB02,SB03</x:v>
      </x:c>
      <x:c r="D2" s="12" t="str">
        <x:v>Runtime stop must be settled-state proven</x:v>
      </x:c>
    </x:row>
    <x:row r="3" ht="24" customHeight="1">
      <x:c r="A3" s="12" t="str">
        <x:v>R02</x:v>
      </x:c>
      <x:c r="B3" s="12" t="str">
        <x:v>F02</x:v>
      </x:c>
      <x:c r="C3" s="12" t="str">
        <x:v>SB02,SB03</x:v>
      </x:c>
      <x:c r="D3" s="12" t="str">
        <x:v>Command lifecycle must distinguish accepted/scheduled/settled/cancelled/failed</x:v>
      </x:c>
    </x:row>
    <x:row r="4" ht="24" customHeight="1">
      <x:c r="A4" s="12" t="str">
        <x:v>R03</x:v>
      </x:c>
      <x:c r="B4" s="12" t="str">
        <x:v>F03</x:v>
      </x:c>
      <x:c r="C4" s="12" t="str">
        <x:v>SB04,SB10,SB15</x:v>
      </x:c>
      <x:c r="D4" s="12" t="str">
        <x:v>Readiness report must produce hard status levels and machine-readable gates</x:v>
      </x:c>
    </x:row>
    <x:row r="5" ht="24" customHeight="1">
      <x:c r="A5" s="12" t="str">
        <x:v>R04</x:v>
      </x:c>
      <x:c r="B5" s="12" t="str">
        <x:v>F04</x:v>
      </x:c>
      <x:c r="C5" s="12" t="str">
        <x:v>SB05</x:v>
      </x:c>
      <x:c r="D5" s="12" t="str">
        <x:v>Research strict mode must be a single first-class policy</x:v>
      </x:c>
    </x:row>
    <x:row r="6" ht="24" customHeight="1">
      <x:c r="A6" s="12" t="str">
        <x:v>R05</x:v>
      </x:c>
      <x:c r="B6" s="12" t="str">
        <x:v>F05</x:v>
      </x:c>
      <x:c r="C6" s="12" t="str">
        <x:v>SB06</x:v>
      </x:c>
      <x:c r="D6" s="12" t="str">
        <x:v>Store resolution must be explicit and auditable in strict mode</x:v>
      </x:c>
    </x:row>
    <x:row r="7" ht="24" customHeight="1">
      <x:c r="A7" s="12" t="str">
        <x:v>R06</x:v>
      </x:c>
      <x:c r="B7" s="12" t="str">
        <x:v>F06</x:v>
      </x:c>
      <x:c r="C7" s="12" t="str">
        <x:v>SB07</x:v>
      </x:c>
      <x:c r="D7" s="12" t="str">
        <x:v>Metric/invariant kinds must be registry-backed and unknowns must fail</x:v>
      </x:c>
    </x:row>
    <x:row r="8" ht="24" customHeight="1">
      <x:c r="A8" s="12" t="str">
        <x:v>R07</x:v>
      </x:c>
      <x:c r="B8" s="12" t="str">
        <x:v>F07</x:v>
      </x:c>
      <x:c r="C8" s="12" t="str">
        <x:v>SB08</x:v>
      </x:c>
      <x:c r="D8" s="12" t="str">
        <x:v>Behavior expansion profile must be declared, versioned, and hashed</x:v>
      </x:c>
    </x:row>
    <x:row r="9" ht="24" customHeight="1">
      <x:c r="A9" s="12" t="str">
        <x:v>R08</x:v>
      </x:c>
      <x:c r="B9" s="12" t="str">
        <x:v>F03,F04,F05,F06,F07</x:v>
      </x:c>
      <x:c r="C9" s="12" t="str">
        <x:v>SB09</x:v>
      </x:c>
      <x:c r="D9" s="12" t="str">
        <x:v>Golden oracles must validate core economic semantics</x:v>
      </x:c>
    </x:row>
    <x:row r="10" ht="24" customHeight="1">
      <x:c r="A10" s="12" t="str">
        <x:v>R09</x:v>
      </x:c>
      <x:c r="B10" s="12" t="str">
        <x:v>F03,F10</x:v>
      </x:c>
      <x:c r="C10" s="12" t="str">
        <x:v>SB10,SB13</x:v>
      </x:c>
      <x:c r="D10" s="12" t="str">
        <x:v>Headless runner must be the source of truth for research runs</x:v>
      </x:c>
    </x:row>
    <x:row r="11" ht="24" customHeight="1">
      <x:c r="A11" s="12" t="str">
        <x:v>R10</x:v>
      </x:c>
      <x:c r="B11" s="12" t="str">
        <x:v>F11</x:v>
      </x:c>
      <x:c r="C11" s="12" t="str">
        <x:v>SB11</x:v>
      </x:c>
      <x:c r="D11" s="12" t="str">
        <x:v>Every run must emit a reproducibility manifest</x:v>
      </x:c>
    </x:row>
    <x:row r="12" ht="24" customHeight="1">
      <x:c r="A12" s="12" t="str">
        <x:v>R11</x:v>
      </x:c>
      <x:c r="B12" s="12" t="str">
        <x:v>F12</x:v>
      </x:c>
      <x:c r="C12" s="12" t="str">
        <x:v>SB12</x:v>
      </x:c>
      <x:c r="D12" s="12" t="str">
        <x:v>Experiment design harness must isolate stochastic/config noise</x:v>
      </x:c>
    </x:row>
    <x:row r="13" ht="24" customHeight="1">
      <x:c r="A13" s="12" t="str">
        <x:v>R12</x:v>
      </x:c>
      <x:c r="B13" s="12" t="str">
        <x:v>F10</x:v>
      </x:c>
      <x:c r="C13" s="12" t="str">
        <x:v>SB13</x:v>
      </x:c>
      <x:c r="D13" s="12" t="str">
        <x:v>Browser visualization must be observer-only</x:v>
      </x:c>
    </x:row>
    <x:row r="14" ht="24" customHeight="1">
      <x:c r="A14" s="12" t="str">
        <x:v>R13</x:v>
      </x:c>
      <x:c r="B14" s="12" t="str">
        <x:v>F09</x:v>
      </x:c>
      <x:c r="C14" s="12" t="str">
        <x:v>SB14</x:v>
      </x:c>
      <x:c r="D14" s="12" t="str">
        <x:v>Performance thresholds must produce hard readiness states</x:v>
      </x:c>
    </x:row>
    <x:row r="15" ht="24" customHeight="1">
      <x:c r="A15" s="12" t="str">
        <x:v>R14</x:v>
      </x:c>
      <x:c r="B15" s="12" t="str">
        <x:v>All</x:v>
      </x:c>
      <x:c r="C15" s="12" t="str">
        <x:v>SB15</x:v>
      </x:c>
      <x:c r="D15" s="12" t="str">
        <x:v>Final red-team must prove no simulator-noise failure path remains unclassified</x:v>
      </x:c>
    </x:row>
  </x:sheetData>
  <x:pageMargins left="0.7" right="0.7" top="0.75" bottom="0.75" header="0.3" footer="0.3"/>
  <x:tableParts count="1">
    <x:tablePart xmlns:r="http://schemas.openxmlformats.org/officeDocument/2006/relationships" r:id="R2eab0fe287834a1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</x:cols>
  <x:sheetData>
    <x:row r="1" ht="24" customHeight="1">
      <x:c r="A1" s="6" t="str">
        <x:v>Gate</x:v>
      </x:c>
      <x:c r="B1" s="6" t="str">
        <x:v>Must prove</x:v>
      </x:c>
      <x:c r="C1" s="6" t="str">
        <x:v>Evidence file(s)</x:v>
      </x:c>
      <x:c r="D1" s="6" t="str">
        <x:v>Pass/Fail</x:v>
      </x:c>
    </x:row>
    <x:row r="2" ht="24" customHeight="1">
      <x:c r="A2" s="12" t="str">
        <x:v>SB03 Refactor gate</x:v>
      </x:c>
      <x:c r="B2" s="12" t="str">
        <x:v>Pause idle and command lifecycle semantics are clear</x:v>
      </x:c>
      <x:c r="C2" s="12" t="str">
        <x:v>SB02/SB03 proof manifests</x:v>
      </x:c>
      <x:c r="D2" s="12" t="str">
        <x:v>Pending</x:v>
      </x:c>
    </x:row>
    <x:row r="3" ht="24" customHeight="1">
      <x:c r="A3" s="12" t="str">
        <x:v>SB08 Refactor gate</x:v>
      </x:c>
      <x:c r="B3" s="12" t="str">
        <x:v>Strict mode, store policy, metrics, behavior profiles are coherent</x:v>
      </x:c>
      <x:c r="C3" s="12" t="str">
        <x:v>SB05–SB08 proof manifests</x:v>
      </x:c>
      <x:c r="D3" s="12" t="str">
        <x:v>Pending</x:v>
      </x:c>
    </x:row>
    <x:row r="4" ht="24" customHeight="1">
      <x:c r="A4" s="12" t="str">
        <x:v>SB12 Refactor gate</x:v>
      </x:c>
      <x:c r="B4" s="12" t="str">
        <x:v>Oracle/headless/reproducibility/design matrix pass</x:v>
      </x:c>
      <x:c r="C4" s="12" t="str">
        <x:v>SB09–SB12 proof manifests</x:v>
      </x:c>
      <x:c r="D4" s="12" t="str">
        <x:v>Pending</x:v>
      </x:c>
    </x:row>
    <x:row r="5" ht="24" customHeight="1">
      <x:c r="A5" s="12" t="str">
        <x:v>SB15 Final gate</x:v>
      </x:c>
      <x:c r="B5" s="12" t="str">
        <x:v>No simulator-noise failure path remains unclassified</x:v>
      </x:c>
      <x:c r="C5" s="12" t="str">
        <x:v>SB15 final report</x:v>
      </x:c>
      <x:c r="D5" s="12" t="str">
        <x:v>Pending</x:v>
      </x:c>
    </x:row>
  </x:sheetData>
  <x:dataValidations count="1">
    <x:dataValidation type="list" sqref="D2:D20">
      <x:formula1>"Pending,Pass,Fail,Blocked"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43fe7f86af4583"/>
  </x:tableParts>
</x:worksheet>
</file>